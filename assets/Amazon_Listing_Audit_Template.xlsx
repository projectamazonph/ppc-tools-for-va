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mages" sheetId="2" state="visible" r:id="rId2"/>
    <sheet name="Title" sheetId="3" state="visible" r:id="rId3"/>
    <sheet name="Bullets" sheetId="4" state="visible" r:id="rId4"/>
    <sheet name="Description" sheetId="5" state="visible" r:id="rId5"/>
    <sheet name="Backend" sheetId="6" state="visible" r:id="rId6"/>
    <sheet name="Pricing" sheetId="7" state="visible" r:id="rId7"/>
    <sheet name="Reviews" sheetId="8" state="visible" r:id="rId8"/>
    <sheet name="PPC Read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2C3E50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A1A2E"/>
      <sz val="14"/>
    </font>
    <font>
      <name val="Calibri"/>
      <b val="1"/>
      <color rgb="001A1A2E"/>
      <sz val="12"/>
    </font>
    <font>
      <name val="Calibri"/>
      <b val="1"/>
      <color rgb="0027AE60"/>
      <sz val="14"/>
    </font>
    <font>
      <name val="Calibri"/>
      <i val="1"/>
      <sz val="10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2F3F4"/>
        <bgColor rgb="00F2F3F4"/>
      </patternFill>
    </fill>
    <fill>
      <patternFill patternType="solid">
        <fgColor rgb="00D6EAF8"/>
        <bgColor rgb="00D6EAF8"/>
      </patternFill>
    </fill>
    <fill>
      <patternFill patternType="solid">
        <fgColor rgb="00FF6B35"/>
        <bgColor rgb="00FF6B35"/>
      </patternFill>
    </fill>
    <fill>
      <patternFill patternType="solid">
        <fgColor rgb="00D5F5E3"/>
        <bgColor rgb="00D5F5E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7" fillId="0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27AE60"/>
          <bgColor rgb="0027AE60"/>
        </patternFill>
      </fill>
    </dxf>
    <dxf>
      <fill>
        <patternFill patternType="solid">
          <fgColor rgb="00F39C12"/>
          <bgColor rgb="00F39C12"/>
        </patternFill>
      </fill>
    </dxf>
    <dxf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  <col width="16" customWidth="1" min="4" max="4"/>
    <col width="45" customWidth="1" min="5" max="5"/>
  </cols>
  <sheetData>
    <row r="1" ht="35" customHeight="1">
      <c r="A1" s="1" t="inlineStr">
        <is>
          <t>AMAZON LISTING AUDIT DASHBOARD</t>
        </is>
      </c>
    </row>
    <row r="2">
      <c r="A2" s="2" t="inlineStr">
        <is>
          <t>PRODUCT INFORMATION</t>
        </is>
      </c>
    </row>
    <row r="3">
      <c r="A3" s="3" t="inlineStr">
        <is>
          <t>Product Name:</t>
        </is>
      </c>
      <c r="B3" s="4" t="inlineStr"/>
      <c r="C3" s="5" t="n"/>
      <c r="D3" s="6" t="n"/>
    </row>
    <row r="4">
      <c r="A4" s="3" t="inlineStr">
        <is>
          <t>ASIN:</t>
        </is>
      </c>
      <c r="B4" s="4" t="inlineStr"/>
      <c r="C4" s="5" t="n"/>
      <c r="D4" s="6" t="n"/>
    </row>
    <row r="5">
      <c r="A5" s="3" t="inlineStr">
        <is>
          <t>Category:</t>
        </is>
      </c>
      <c r="B5" s="4" t="inlineStr"/>
      <c r="C5" s="5" t="n"/>
      <c r="D5" s="6" t="n"/>
    </row>
    <row r="6">
      <c r="A6" s="3" t="inlineStr">
        <is>
          <t>Brand:</t>
        </is>
      </c>
      <c r="B6" s="4" t="inlineStr"/>
      <c r="C6" s="5" t="n"/>
      <c r="D6" s="6" t="n"/>
    </row>
    <row r="7">
      <c r="A7" s="3" t="inlineStr">
        <is>
          <t>Price:</t>
        </is>
      </c>
      <c r="B7" s="4" t="inlineStr"/>
      <c r="C7" s="5" t="n"/>
      <c r="D7" s="6" t="n"/>
    </row>
    <row r="8">
      <c r="A8" s="3" t="inlineStr">
        <is>
          <t>Audit Date:</t>
        </is>
      </c>
      <c r="B8" s="4" t="inlineStr"/>
      <c r="C8" s="5" t="n"/>
      <c r="D8" s="6" t="n"/>
    </row>
    <row r="9">
      <c r="A9" s="3" t="inlineStr">
        <is>
          <t>Auditor:</t>
        </is>
      </c>
      <c r="B9" s="4" t="inlineStr"/>
      <c r="C9" s="5" t="n"/>
      <c r="D9" s="6" t="n"/>
    </row>
    <row r="12">
      <c r="A12" s="2" t="inlineStr">
        <is>
          <t>OVERALL LISTING SCORE</t>
        </is>
      </c>
    </row>
    <row r="13">
      <c r="A13" s="7" t="inlineStr">
        <is>
          <t>Category</t>
        </is>
      </c>
      <c r="B13" s="7" t="inlineStr">
        <is>
          <t>Score (0-100)</t>
        </is>
      </c>
      <c r="C13" s="7" t="inlineStr">
        <is>
          <t>Weight</t>
        </is>
      </c>
      <c r="D13" s="7" t="inlineStr">
        <is>
          <t>Weighted Score</t>
        </is>
      </c>
      <c r="E13" s="7" t="inlineStr">
        <is>
          <t>Status</t>
        </is>
      </c>
    </row>
    <row r="14">
      <c r="A14" s="3" t="inlineStr">
        <is>
          <t>Image Quality</t>
        </is>
      </c>
      <c r="B14" s="8">
        <f>'Images'!N20</f>
        <v/>
      </c>
      <c r="C14" s="9" t="n">
        <v>0.15</v>
      </c>
      <c r="D14" s="10">
        <f>B14*C14</f>
        <v/>
      </c>
      <c r="E14" s="8">
        <f>IF(B14&gt;=80,"Excellent",IF(B14&gt;=60,"Needs Work","Critical"))</f>
        <v/>
      </c>
    </row>
    <row r="15">
      <c r="A15" s="3" t="inlineStr">
        <is>
          <t>Title Optimization</t>
        </is>
      </c>
      <c r="B15" s="8">
        <f>'Title'!N20</f>
        <v/>
      </c>
      <c r="C15" s="9" t="n">
        <v>0.15</v>
      </c>
      <c r="D15" s="10">
        <f>B15*C15</f>
        <v/>
      </c>
      <c r="E15" s="8">
        <f>IF(B15&gt;=80,"Excellent",IF(B15&gt;=60,"Needs Work","Critical"))</f>
        <v/>
      </c>
    </row>
    <row r="16">
      <c r="A16" s="3" t="inlineStr">
        <is>
          <t>Bullet Points</t>
        </is>
      </c>
      <c r="B16" s="8">
        <f>'Bullets'!N20</f>
        <v/>
      </c>
      <c r="C16" s="9" t="n">
        <v>0.15</v>
      </c>
      <c r="D16" s="10">
        <f>B16*C16</f>
        <v/>
      </c>
      <c r="E16" s="8">
        <f>IF(B16&gt;=80,"Excellent",IF(B16&gt;=60,"Needs Work","Critical"))</f>
        <v/>
      </c>
    </row>
    <row r="17">
      <c r="A17" s="3" t="inlineStr">
        <is>
          <t>Description / A+</t>
        </is>
      </c>
      <c r="B17" s="8">
        <f>'Description'!N20</f>
        <v/>
      </c>
      <c r="C17" s="9" t="n">
        <v>0.1</v>
      </c>
      <c r="D17" s="10">
        <f>B17*C17</f>
        <v/>
      </c>
      <c r="E17" s="8">
        <f>IF(B17&gt;=80,"Excellent",IF(B17&gt;=60,"Needs Work","Critical"))</f>
        <v/>
      </c>
    </row>
    <row r="18">
      <c r="A18" s="3" t="inlineStr">
        <is>
          <t>Backend Terms</t>
        </is>
      </c>
      <c r="B18" s="8">
        <f>'Backend'!N20</f>
        <v/>
      </c>
      <c r="C18" s="9" t="n">
        <v>0.1</v>
      </c>
      <c r="D18" s="10">
        <f>B18*C18</f>
        <v/>
      </c>
      <c r="E18" s="8">
        <f>IF(B18&gt;=80,"Excellent",IF(B18&gt;=60,"Needs Work","Critical"))</f>
        <v/>
      </c>
    </row>
    <row r="19">
      <c r="A19" s="3" t="inlineStr">
        <is>
          <t>Pricing Position</t>
        </is>
      </c>
      <c r="B19" s="8">
        <f>'Pricing'!N20</f>
        <v/>
      </c>
      <c r="C19" s="9" t="n">
        <v>0.1</v>
      </c>
      <c r="D19" s="10">
        <f>B19*C19</f>
        <v/>
      </c>
      <c r="E19" s="8">
        <f>IF(B19&gt;=80,"Excellent",IF(B19&gt;=60,"Needs Work","Critical"))</f>
        <v/>
      </c>
    </row>
    <row r="20">
      <c r="A20" s="3" t="inlineStr">
        <is>
          <t>Reviews Health</t>
        </is>
      </c>
      <c r="B20" s="8">
        <f>'Reviews'!N20</f>
        <v/>
      </c>
      <c r="C20" s="9" t="n">
        <v>0.1</v>
      </c>
      <c r="D20" s="10">
        <f>B20*C20</f>
        <v/>
      </c>
      <c r="E20" s="8">
        <f>IF(B20&gt;=80,"Excellent",IF(B20&gt;=60,"Needs Work","Critical"))</f>
        <v/>
      </c>
    </row>
    <row r="21">
      <c r="A21" s="3" t="inlineStr">
        <is>
          <t>PPC Readiness</t>
        </is>
      </c>
      <c r="B21" s="8">
        <f>'PPC Ready'!N20</f>
        <v/>
      </c>
      <c r="C21" s="9" t="n">
        <v>0.15</v>
      </c>
      <c r="D21" s="10">
        <f>B21*C21</f>
        <v/>
      </c>
      <c r="E21" s="8">
        <f>IF(B21&gt;=80,"Excellent",IF(B21&gt;=60,"Needs Work","Critical"))</f>
        <v/>
      </c>
    </row>
    <row r="22">
      <c r="A22" s="11" t="inlineStr">
        <is>
          <t>OVERALL SCORE</t>
        </is>
      </c>
      <c r="B22" s="12">
        <f>SUM(D14:D21)</f>
        <v/>
      </c>
      <c r="E22" s="8">
        <f>IF(B22&gt;=80,"LISTING IS STRONG",IF(B22&gt;=60,"LISTING NEEDS WORK","LISTING IS CRITICAL"))</f>
        <v/>
      </c>
    </row>
  </sheetData>
  <mergeCells count="10">
    <mergeCell ref="A12:H12"/>
    <mergeCell ref="B3:D3"/>
    <mergeCell ref="B5:D5"/>
    <mergeCell ref="A2:H2"/>
    <mergeCell ref="B8:D8"/>
    <mergeCell ref="B4:D4"/>
    <mergeCell ref="B9:D9"/>
    <mergeCell ref="A1:H1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2" customWidth="1" min="3" max="3"/>
    <col width="12" customWidth="1" min="4" max="4"/>
    <col width="30" customWidth="1" min="5" max="5"/>
    <col width="12" customWidth="1" min="6" max="6"/>
    <col width="30" customWidth="1" min="7" max="7"/>
    <col width="12" customWidth="1" min="8" max="8"/>
  </cols>
  <sheetData>
    <row r="1" ht="35" customHeight="1">
      <c r="A1" s="1" t="inlineStr">
        <is>
          <t>IMAGE AUDIT CHECKLIST</t>
        </is>
      </c>
    </row>
    <row r="3">
      <c r="A3" s="7" t="inlineStr">
        <is>
          <t>#</t>
        </is>
      </c>
      <c r="B3" s="7" t="inlineStr">
        <is>
          <t>Check Item</t>
        </is>
      </c>
      <c r="C3" s="7" t="inlineStr">
        <is>
          <t>Pass/Fail</t>
        </is>
      </c>
      <c r="D3" s="7" t="inlineStr">
        <is>
          <t>Score (0-1)</t>
        </is>
      </c>
      <c r="E3" s="7" t="inlineStr">
        <is>
          <t>Notes</t>
        </is>
      </c>
      <c r="F3" s="7" t="inlineStr">
        <is>
          <t>Priority</t>
        </is>
      </c>
      <c r="G3" s="7" t="inlineStr">
        <is>
          <t>Action Required</t>
        </is>
      </c>
      <c r="H3" s="7" t="inlineStr">
        <is>
          <t>Impact</t>
        </is>
      </c>
    </row>
    <row r="4">
      <c r="A4" s="13" t="n">
        <v>1</v>
      </c>
      <c r="B4" s="14" t="inlineStr">
        <is>
          <t>Main image on pure white background (RGB 255,255,255)</t>
        </is>
      </c>
      <c r="C4" s="4" t="inlineStr"/>
      <c r="D4" s="4" t="inlineStr"/>
      <c r="E4" s="4" t="inlineStr"/>
      <c r="F4" s="13" t="inlineStr">
        <is>
          <t>CRITICAL</t>
        </is>
      </c>
      <c r="G4" s="4" t="inlineStr"/>
      <c r="H4" s="13" t="inlineStr">
        <is>
          <t>CTR</t>
        </is>
      </c>
    </row>
    <row r="5">
      <c r="A5" s="13" t="n">
        <v>2</v>
      </c>
      <c r="B5" s="14" t="inlineStr">
        <is>
          <t>Main image shows ONLY the product (no props, text, logos)</t>
        </is>
      </c>
      <c r="C5" s="4" t="inlineStr"/>
      <c r="D5" s="4" t="inlineStr"/>
      <c r="E5" s="4" t="inlineStr"/>
      <c r="F5" s="13" t="inlineStr">
        <is>
          <t>CRITICAL</t>
        </is>
      </c>
      <c r="G5" s="4" t="inlineStr"/>
      <c r="H5" s="13" t="inlineStr">
        <is>
          <t>CTR</t>
        </is>
      </c>
    </row>
    <row r="6">
      <c r="A6" s="13" t="n">
        <v>3</v>
      </c>
      <c r="B6" s="14" t="inlineStr">
        <is>
          <t>Main image fills 85%+ of frame</t>
        </is>
      </c>
      <c r="C6" s="4" t="inlineStr"/>
      <c r="D6" s="4" t="inlineStr"/>
      <c r="E6" s="4" t="inlineStr"/>
      <c r="F6" s="13" t="inlineStr">
        <is>
          <t>HIGH</t>
        </is>
      </c>
      <c r="G6" s="4" t="inlineStr"/>
      <c r="H6" s="13" t="inlineStr">
        <is>
          <t>CTR</t>
        </is>
      </c>
    </row>
    <row r="7">
      <c r="A7" s="13" t="n">
        <v>4</v>
      </c>
      <c r="B7" s="14" t="inlineStr">
        <is>
          <t>Main image is high resolution (1000px+ on longest side)</t>
        </is>
      </c>
      <c r="C7" s="4" t="inlineStr"/>
      <c r="D7" s="4" t="inlineStr"/>
      <c r="E7" s="4" t="inlineStr"/>
      <c r="F7" s="13" t="inlineStr">
        <is>
          <t>HIGH</t>
        </is>
      </c>
      <c r="G7" s="4" t="inlineStr"/>
      <c r="H7" s="13" t="inlineStr">
        <is>
          <t>Quality</t>
        </is>
      </c>
    </row>
    <row r="8">
      <c r="A8" s="13" t="n">
        <v>5</v>
      </c>
      <c r="B8" s="14" t="inlineStr">
        <is>
          <t>Secondary image: lifestyle/in-use shot</t>
        </is>
      </c>
      <c r="C8" s="4" t="inlineStr"/>
      <c r="D8" s="4" t="inlineStr"/>
      <c r="E8" s="4" t="inlineStr"/>
      <c r="F8" s="13" t="inlineStr">
        <is>
          <t>HIGH</t>
        </is>
      </c>
      <c r="G8" s="4" t="inlineStr"/>
      <c r="H8" s="13" t="inlineStr">
        <is>
          <t>CVR</t>
        </is>
      </c>
    </row>
    <row r="9">
      <c r="A9" s="13" t="n">
        <v>6</v>
      </c>
      <c r="B9" s="14" t="inlineStr">
        <is>
          <t>Secondary image: dimensions/scale reference</t>
        </is>
      </c>
      <c r="C9" s="4" t="inlineStr"/>
      <c r="D9" s="4" t="inlineStr"/>
      <c r="E9" s="4" t="inlineStr"/>
      <c r="F9" s="13" t="inlineStr">
        <is>
          <t>MEDIUM</t>
        </is>
      </c>
      <c r="G9" s="4" t="inlineStr"/>
      <c r="H9" s="13" t="inlineStr">
        <is>
          <t>CVR</t>
        </is>
      </c>
    </row>
    <row r="10">
      <c r="A10" s="13" t="n">
        <v>7</v>
      </c>
      <c r="B10" s="14" t="inlineStr">
        <is>
          <t>Secondary image: close-up/detail shot</t>
        </is>
      </c>
      <c r="C10" s="4" t="inlineStr"/>
      <c r="D10" s="4" t="inlineStr"/>
      <c r="E10" s="4" t="inlineStr"/>
      <c r="F10" s="13" t="inlineStr">
        <is>
          <t>MEDIUM</t>
        </is>
      </c>
      <c r="G10" s="4" t="inlineStr"/>
      <c r="H10" s="13" t="inlineStr">
        <is>
          <t>CVR</t>
        </is>
      </c>
    </row>
    <row r="11">
      <c r="A11" s="13" t="n">
        <v>8</v>
      </c>
      <c r="B11" s="14" t="inlineStr">
        <is>
          <t>Secondary image: infographic with benefits</t>
        </is>
      </c>
      <c r="C11" s="4" t="inlineStr"/>
      <c r="D11" s="4" t="inlineStr"/>
      <c r="E11" s="4" t="inlineStr"/>
      <c r="F11" s="13" t="inlineStr">
        <is>
          <t>MEDIUM</t>
        </is>
      </c>
      <c r="G11" s="4" t="inlineStr"/>
      <c r="H11" s="13" t="inlineStr">
        <is>
          <t>CVR</t>
        </is>
      </c>
    </row>
    <row r="12">
      <c r="A12" s="13" t="n">
        <v>9</v>
      </c>
      <c r="B12" s="14" t="inlineStr">
        <is>
          <t>Total image count: 7 images uploaded</t>
        </is>
      </c>
      <c r="C12" s="4" t="inlineStr"/>
      <c r="D12" s="4" t="inlineStr"/>
      <c r="E12" s="4" t="inlineStr"/>
      <c r="F12" s="13" t="inlineStr">
        <is>
          <t>HIGH</t>
        </is>
      </c>
      <c r="G12" s="4" t="inlineStr"/>
      <c r="H12" s="13" t="inlineStr">
        <is>
          <t>CVR</t>
        </is>
      </c>
    </row>
    <row r="13">
      <c r="A13" s="13" t="n">
        <v>10</v>
      </c>
      <c r="B13" s="14" t="inlineStr">
        <is>
          <t>Images show product from multiple angles</t>
        </is>
      </c>
      <c r="C13" s="4" t="inlineStr"/>
      <c r="D13" s="4" t="inlineStr"/>
      <c r="E13" s="4" t="inlineStr"/>
      <c r="F13" s="13" t="inlineStr">
        <is>
          <t>MEDIUM</t>
        </is>
      </c>
      <c r="G13" s="4" t="inlineStr"/>
      <c r="H13" s="13" t="inlineStr">
        <is>
          <t>CVR</t>
        </is>
      </c>
    </row>
    <row r="14">
      <c r="A14" s="13" t="n">
        <v>11</v>
      </c>
      <c r="B14" s="14" t="inlineStr">
        <is>
          <t>No text/watermarks on main image</t>
        </is>
      </c>
      <c r="C14" s="4" t="inlineStr"/>
      <c r="D14" s="4" t="inlineStr"/>
      <c r="E14" s="4" t="inlineStr"/>
      <c r="F14" s="13" t="inlineStr">
        <is>
          <t>CRITICAL</t>
        </is>
      </c>
      <c r="G14" s="4" t="inlineStr"/>
      <c r="H14" s="13" t="inlineStr">
        <is>
          <t>Compliance</t>
        </is>
      </c>
    </row>
    <row r="15">
      <c r="A15" s="13" t="n">
        <v>12</v>
      </c>
      <c r="B15" s="14" t="inlineStr">
        <is>
          <t>Images are not blurry or pixelated</t>
        </is>
      </c>
      <c r="C15" s="4" t="inlineStr"/>
      <c r="D15" s="4" t="inlineStr"/>
      <c r="E15" s="4" t="inlineStr"/>
      <c r="F15" s="13" t="inlineStr">
        <is>
          <t>HIGH</t>
        </is>
      </c>
      <c r="G15" s="4" t="inlineStr"/>
      <c r="H15" s="13" t="inlineStr">
        <is>
          <t>Trust</t>
        </is>
      </c>
    </row>
    <row r="16">
      <c r="A16" s="13" t="n">
        <v>13</v>
      </c>
      <c r="B16" s="14" t="inlineStr">
        <is>
          <t>Lifestyle images show target demographic</t>
        </is>
      </c>
      <c r="C16" s="4" t="inlineStr"/>
      <c r="D16" s="4" t="inlineStr"/>
      <c r="E16" s="4" t="inlineStr"/>
      <c r="F16" s="13" t="inlineStr">
        <is>
          <t>MEDIUM</t>
        </is>
      </c>
      <c r="G16" s="4" t="inlineStr"/>
      <c r="H16" s="13" t="inlineStr">
        <is>
          <t>Relevance</t>
        </is>
      </c>
    </row>
    <row r="17">
      <c r="A17" s="13" t="n">
        <v>14</v>
      </c>
      <c r="B17" s="14" t="inlineStr">
        <is>
          <t>Infographic highlights 3+ key benefits</t>
        </is>
      </c>
      <c r="C17" s="4" t="inlineStr"/>
      <c r="D17" s="4" t="inlineStr"/>
      <c r="E17" s="4" t="inlineStr"/>
      <c r="F17" s="13" t="inlineStr">
        <is>
          <t>MEDIUM</t>
        </is>
      </c>
      <c r="G17" s="4" t="inlineStr"/>
      <c r="H17" s="13" t="inlineStr">
        <is>
          <t>CVR</t>
        </is>
      </c>
    </row>
    <row r="18">
      <c r="A18" s="13" t="n">
        <v>15</v>
      </c>
      <c r="B18" s="14" t="inlineStr">
        <is>
          <t>Video uploaded (if eligible)</t>
        </is>
      </c>
      <c r="C18" s="4" t="inlineStr"/>
      <c r="D18" s="4" t="inlineStr"/>
      <c r="E18" s="4" t="inlineStr"/>
      <c r="F18" s="13" t="inlineStr">
        <is>
          <t>HIGH</t>
        </is>
      </c>
      <c r="G18" s="4" t="inlineStr"/>
      <c r="H18" s="13" t="inlineStr">
        <is>
          <t>Engagement</t>
        </is>
      </c>
    </row>
    <row r="19">
      <c r="B19" s="3" t="inlineStr">
        <is>
          <t>TOTAL SCORE</t>
        </is>
      </c>
      <c r="C19" s="8">
        <f>COUNTIF(C4:C18,"Pass")&amp;"/"&amp;COUNTA(C4:C18)</f>
        <v/>
      </c>
      <c r="D19" s="8">
        <f>IF(COUNT(D4:D18)&gt;0,AVERAGE(D4:D18),0)</f>
        <v/>
      </c>
    </row>
    <row r="20">
      <c r="B20" s="15" t="inlineStr">
        <is>
          <t>OVERALL IMAGE SCORE (0-100)</t>
        </is>
      </c>
      <c r="D20" s="16">
        <f>ROUND(D19*100,0)</f>
        <v/>
      </c>
      <c r="N20">
        <f>D20</f>
        <v/>
      </c>
    </row>
  </sheetData>
  <mergeCells count="1">
    <mergeCell ref="A1:H1"/>
  </mergeCells>
  <conditionalFormatting sqref="D4:D18">
    <cfRule type="cellIs" priority="1" operator="greaterThanOrEqual" dxfId="0">
      <formula>0.8</formula>
    </cfRule>
    <cfRule type="cellIs" priority="2" operator="between" dxfId="1">
      <formula>0.5</formula>
      <formula>0.79</formula>
    </cfRule>
    <cfRule type="cellIs" priority="3" operator="lessThan" dxfId="2">
      <formula>0.5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498DB"/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2" customWidth="1" min="3" max="3"/>
    <col width="12" customWidth="1" min="4" max="4"/>
    <col width="30" customWidth="1" min="5" max="5"/>
    <col width="12" customWidth="1" min="6" max="6"/>
    <col width="30" customWidth="1" min="7" max="7"/>
    <col width="12" customWidth="1" min="8" max="8"/>
  </cols>
  <sheetData>
    <row r="1" ht="35" customHeight="1">
      <c r="A1" s="1" t="inlineStr">
        <is>
          <t>TITLE OPTIMIZATION AUDIT</t>
        </is>
      </c>
    </row>
    <row r="3">
      <c r="A3" s="3" t="inlineStr">
        <is>
          <t>Current Title:</t>
        </is>
      </c>
      <c r="B3" s="4" t="inlineStr"/>
      <c r="C3" s="17" t="inlineStr">
        <is>
          <t>(paste full title here)</t>
        </is>
      </c>
    </row>
    <row r="4">
      <c r="A4" s="3" t="inlineStr">
        <is>
          <t>Title Length:</t>
        </is>
      </c>
      <c r="B4" s="8">
        <f>LEN(B3)</f>
        <v/>
      </c>
      <c r="C4" s="17" t="inlineStr">
        <is>
          <t>characters (ideal: 150-200)</t>
        </is>
      </c>
    </row>
    <row r="5">
      <c r="A5" s="3" t="inlineStr">
        <is>
          <t>Word Count:</t>
        </is>
      </c>
      <c r="B5" s="8">
        <f>IF(LEN(B3)&gt;0,LEN(TRIM(B3))-LEN(SUBSTITUTE(B3," ",""))+1,0)</f>
        <v/>
      </c>
    </row>
    <row r="7">
      <c r="A7" s="7" t="inlineStr">
        <is>
          <t>#</t>
        </is>
      </c>
      <c r="B7" s="7" t="inlineStr">
        <is>
          <t>Check Item</t>
        </is>
      </c>
      <c r="C7" s="7" t="inlineStr">
        <is>
          <t>Pass/Fail</t>
        </is>
      </c>
      <c r="D7" s="7" t="inlineStr">
        <is>
          <t>Score (0-1)</t>
        </is>
      </c>
      <c r="E7" s="7" t="inlineStr">
        <is>
          <t>Notes</t>
        </is>
      </c>
      <c r="F7" s="7" t="inlineStr">
        <is>
          <t>Priority</t>
        </is>
      </c>
      <c r="G7" s="7" t="inlineStr">
        <is>
          <t>Action Required</t>
        </is>
      </c>
      <c r="H7" s="7" t="inlineStr">
        <is>
          <t>Impact</t>
        </is>
      </c>
    </row>
    <row r="8">
      <c r="A8" s="13" t="n">
        <v>1</v>
      </c>
      <c r="B8" s="14" t="inlineStr">
        <is>
          <t>Title length 150-200 characters (optimal for search)</t>
        </is>
      </c>
      <c r="C8" s="4" t="inlineStr"/>
      <c r="D8" s="4" t="inlineStr"/>
      <c r="E8" s="4" t="inlineStr"/>
      <c r="F8" s="13" t="inlineStr">
        <is>
          <t>CRITICAL</t>
        </is>
      </c>
      <c r="G8" s="4" t="inlineStr"/>
      <c r="H8" s="13" t="inlineStr">
        <is>
          <t>Ranking</t>
        </is>
      </c>
    </row>
    <row r="9">
      <c r="A9" s="13" t="n">
        <v>2</v>
      </c>
      <c r="B9" s="14" t="inlineStr">
        <is>
          <t>Primary keyword in first 80 characters</t>
        </is>
      </c>
      <c r="C9" s="4" t="inlineStr"/>
      <c r="D9" s="4" t="inlineStr"/>
      <c r="E9" s="4" t="inlineStr"/>
      <c r="F9" s="13" t="inlineStr">
        <is>
          <t>CRITICAL</t>
        </is>
      </c>
      <c r="G9" s="4" t="inlineStr"/>
      <c r="H9" s="13" t="inlineStr">
        <is>
          <t>Ranking</t>
        </is>
      </c>
    </row>
    <row r="10">
      <c r="A10" s="13" t="n">
        <v>3</v>
      </c>
      <c r="B10" s="14" t="inlineStr">
        <is>
          <t>Brand name included</t>
        </is>
      </c>
      <c r="C10" s="4" t="inlineStr"/>
      <c r="D10" s="4" t="inlineStr"/>
      <c r="E10" s="4" t="inlineStr"/>
      <c r="F10" s="13" t="inlineStr">
        <is>
          <t>HIGH</t>
        </is>
      </c>
      <c r="G10" s="4" t="inlineStr"/>
      <c r="H10" s="13" t="inlineStr">
        <is>
          <t>Brand</t>
        </is>
      </c>
    </row>
    <row r="11">
      <c r="A11" s="13" t="n">
        <v>4</v>
      </c>
      <c r="B11" s="14" t="inlineStr">
        <is>
          <t>Key product feature/benefit in title</t>
        </is>
      </c>
      <c r="C11" s="4" t="inlineStr"/>
      <c r="D11" s="4" t="inlineStr"/>
      <c r="E11" s="4" t="inlineStr"/>
      <c r="F11" s="13" t="inlineStr">
        <is>
          <t>HIGH</t>
        </is>
      </c>
      <c r="G11" s="4" t="inlineStr"/>
      <c r="H11" s="13" t="inlineStr">
        <is>
          <t>CTR</t>
        </is>
      </c>
    </row>
    <row r="12">
      <c r="A12" s="13" t="n">
        <v>5</v>
      </c>
      <c r="B12" s="14" t="inlineStr">
        <is>
          <t>Size/quantity/color variants included (if applicable)</t>
        </is>
      </c>
      <c r="C12" s="4" t="inlineStr"/>
      <c r="D12" s="4" t="inlineStr"/>
      <c r="E12" s="4" t="inlineStr"/>
      <c r="F12" s="13" t="inlineStr">
        <is>
          <t>MEDIUM</t>
        </is>
      </c>
      <c r="G12" s="4" t="inlineStr"/>
      <c r="H12" s="13" t="inlineStr">
        <is>
          <t>CVR</t>
        </is>
      </c>
    </row>
    <row r="13">
      <c r="A13" s="13" t="n">
        <v>6</v>
      </c>
      <c r="B13" s="14" t="inlineStr">
        <is>
          <t>Title is readable and not keyword-stuffed</t>
        </is>
      </c>
      <c r="C13" s="4" t="inlineStr"/>
      <c r="D13" s="4" t="inlineStr"/>
      <c r="E13" s="4" t="inlineStr"/>
      <c r="F13" s="13" t="inlineStr">
        <is>
          <t>HIGH</t>
        </is>
      </c>
      <c r="G13" s="4" t="inlineStr"/>
      <c r="H13" s="13" t="inlineStr">
        <is>
          <t>Trust</t>
        </is>
      </c>
    </row>
    <row r="14">
      <c r="A14" s="13" t="n">
        <v>7</v>
      </c>
      <c r="B14" s="14" t="inlineStr">
        <is>
          <t>No special characters or ALL CAPS</t>
        </is>
      </c>
      <c r="C14" s="4" t="inlineStr"/>
      <c r="D14" s="4" t="inlineStr"/>
      <c r="E14" s="4" t="inlineStr"/>
      <c r="F14" s="13" t="inlineStr">
        <is>
          <t>MEDIUM</t>
        </is>
      </c>
      <c r="G14" s="4" t="inlineStr"/>
      <c r="H14" s="13" t="inlineStr">
        <is>
          <t>Compliance</t>
        </is>
      </c>
    </row>
    <row r="15">
      <c r="A15" s="13" t="n">
        <v>8</v>
      </c>
      <c r="B15" s="14" t="inlineStr">
        <is>
          <t>Primary keyword appears naturally (not forced)</t>
        </is>
      </c>
      <c r="C15" s="4" t="inlineStr"/>
      <c r="D15" s="4" t="inlineStr"/>
      <c r="E15" s="4" t="inlineStr"/>
      <c r="F15" s="13" t="inlineStr">
        <is>
          <t>HIGH</t>
        </is>
      </c>
      <c r="G15" s="4" t="inlineStr"/>
      <c r="H15" s="13" t="inlineStr">
        <is>
          <t>Ranking</t>
        </is>
      </c>
    </row>
    <row r="16">
      <c r="A16" s="13" t="n">
        <v>9</v>
      </c>
      <c r="B16" s="14" t="inlineStr">
        <is>
          <t>Title differentiates from competitors</t>
        </is>
      </c>
      <c r="C16" s="4" t="inlineStr"/>
      <c r="D16" s="4" t="inlineStr"/>
      <c r="E16" s="4" t="inlineStr"/>
      <c r="F16" s="13" t="inlineStr">
        <is>
          <t>MEDIUM</t>
        </is>
      </c>
      <c r="G16" s="4" t="inlineStr"/>
      <c r="H16" s="13" t="inlineStr">
        <is>
          <t>CTR</t>
        </is>
      </c>
    </row>
    <row r="17">
      <c r="A17" s="13" t="n">
        <v>10</v>
      </c>
      <c r="B17" s="14" t="inlineStr">
        <is>
          <t>No promotional text (e.g., SALE, FREE SHIPPING)</t>
        </is>
      </c>
      <c r="C17" s="4" t="inlineStr"/>
      <c r="D17" s="4" t="inlineStr"/>
      <c r="E17" s="4" t="inlineStr"/>
      <c r="F17" s="13" t="inlineStr">
        <is>
          <t>CRITICAL</t>
        </is>
      </c>
      <c r="G17" s="4" t="inlineStr"/>
      <c r="H17" s="13" t="inlineStr">
        <is>
          <t>Compliance</t>
        </is>
      </c>
    </row>
    <row r="18">
      <c r="B18" s="3" t="inlineStr">
        <is>
          <t>TOTAL SCORE</t>
        </is>
      </c>
      <c r="C18" s="8">
        <f>COUNTIF(C8:C17,"Pass")&amp;"/"&amp;COUNTA(C8:C17)</f>
        <v/>
      </c>
      <c r="D18" s="8">
        <f>IF(COUNT(D8:D17)&gt;0,AVERAGE(D8:D17),0)</f>
        <v/>
      </c>
    </row>
    <row r="19">
      <c r="B19" s="15" t="inlineStr">
        <is>
          <t>OVERALL TITLE SCORE (0-100)</t>
        </is>
      </c>
      <c r="D19" s="16">
        <f>ROUND(D18*100,0)</f>
        <v/>
      </c>
      <c r="N19">
        <f>D19</f>
        <v/>
      </c>
    </row>
  </sheetData>
  <mergeCells count="1">
    <mergeCell ref="A1:H1"/>
  </mergeCells>
  <conditionalFormatting sqref="D8:D17">
    <cfRule type="cellIs" priority="1" operator="greaterThanOrEqual" dxfId="0">
      <formula>0.8</formula>
    </cfRule>
    <cfRule type="cellIs" priority="2" operator="between" dxfId="1">
      <formula>0.5</formula>
      <formula>0.79</formula>
    </cfRule>
    <cfRule type="cellIs" priority="3" operator="lessThan" dxfId="2">
      <formula>0.5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2" customWidth="1" min="3" max="3"/>
    <col width="12" customWidth="1" min="4" max="4"/>
    <col width="30" customWidth="1" min="5" max="5"/>
    <col width="12" customWidth="1" min="6" max="6"/>
    <col width="30" customWidth="1" min="7" max="7"/>
    <col width="12" customWidth="1" min="8" max="8"/>
  </cols>
  <sheetData>
    <row r="1" ht="35" customHeight="1">
      <c r="A1" s="1" t="inlineStr">
        <is>
          <t>BULLET POINTS AUDIT</t>
        </is>
      </c>
    </row>
    <row r="3">
      <c r="A3" s="3" t="inlineStr">
        <is>
          <t>Number of Bullets:</t>
        </is>
      </c>
      <c r="B3" s="4" t="inlineStr"/>
      <c r="C3" s="17" t="inlineStr">
        <is>
          <t>(should be 5)</t>
        </is>
      </c>
    </row>
    <row r="5">
      <c r="A5" s="7" t="inlineStr">
        <is>
          <t>#</t>
        </is>
      </c>
      <c r="B5" s="7" t="inlineStr">
        <is>
          <t>Check Item</t>
        </is>
      </c>
      <c r="C5" s="7" t="inlineStr">
        <is>
          <t>Pass/Fail</t>
        </is>
      </c>
      <c r="D5" s="7" t="inlineStr">
        <is>
          <t>Score (0-1)</t>
        </is>
      </c>
      <c r="E5" s="7" t="inlineStr">
        <is>
          <t>Notes</t>
        </is>
      </c>
      <c r="F5" s="7" t="inlineStr">
        <is>
          <t>Priority</t>
        </is>
      </c>
      <c r="G5" s="7" t="inlineStr">
        <is>
          <t>Action Required</t>
        </is>
      </c>
      <c r="H5" s="7" t="inlineStr">
        <is>
          <t>Impact</t>
        </is>
      </c>
    </row>
    <row r="6">
      <c r="A6" s="13" t="n">
        <v>1</v>
      </c>
      <c r="B6" s="14" t="inlineStr">
        <is>
          <t>5 bullet points present (maximum allowed)</t>
        </is>
      </c>
      <c r="C6" s="4" t="inlineStr"/>
      <c r="D6" s="4" t="inlineStr"/>
      <c r="E6" s="4" t="inlineStr"/>
      <c r="F6" s="13" t="inlineStr">
        <is>
          <t>CRITICAL</t>
        </is>
      </c>
      <c r="G6" s="4" t="inlineStr"/>
      <c r="H6" s="13" t="inlineStr">
        <is>
          <t>CVR</t>
        </is>
      </c>
    </row>
    <row r="7">
      <c r="A7" s="13" t="n">
        <v>2</v>
      </c>
      <c r="B7" s="14" t="inlineStr">
        <is>
          <t>Each bullet starts with CAPS or capitalized benefit</t>
        </is>
      </c>
      <c r="C7" s="4" t="inlineStr"/>
      <c r="D7" s="4" t="inlineStr"/>
      <c r="E7" s="4" t="inlineStr"/>
      <c r="F7" s="13" t="inlineStr">
        <is>
          <t>HIGH</t>
        </is>
      </c>
      <c r="G7" s="4" t="inlineStr"/>
      <c r="H7" s="13" t="inlineStr">
        <is>
          <t>Readability</t>
        </is>
      </c>
    </row>
    <row r="8">
      <c r="A8" s="13" t="n">
        <v>3</v>
      </c>
      <c r="B8" s="14" t="inlineStr">
        <is>
          <t>Each bullet is under 200 characters</t>
        </is>
      </c>
      <c r="C8" s="4" t="inlineStr"/>
      <c r="D8" s="4" t="inlineStr"/>
      <c r="E8" s="4" t="inlineStr"/>
      <c r="F8" s="13" t="inlineStr">
        <is>
          <t>MEDIUM</t>
        </is>
      </c>
      <c r="G8" s="4" t="inlineStr"/>
      <c r="H8" s="13" t="inlineStr">
        <is>
          <t>Mobile</t>
        </is>
      </c>
    </row>
    <row r="9">
      <c r="A9" s="13" t="n">
        <v>4</v>
      </c>
      <c r="B9" s="14" t="inlineStr">
        <is>
          <t>Primary keyword appears in bullet 1 or 2</t>
        </is>
      </c>
      <c r="C9" s="4" t="inlineStr"/>
      <c r="D9" s="4" t="inlineStr"/>
      <c r="E9" s="4" t="inlineStr"/>
      <c r="F9" s="13" t="inlineStr">
        <is>
          <t>HIGH</t>
        </is>
      </c>
      <c r="G9" s="4" t="inlineStr"/>
      <c r="H9" s="13" t="inlineStr">
        <is>
          <t>Ranking</t>
        </is>
      </c>
    </row>
    <row r="10">
      <c r="A10" s="13" t="n">
        <v>5</v>
      </c>
      <c r="B10" s="14" t="inlineStr">
        <is>
          <t>Secondary keywords distributed across bullets</t>
        </is>
      </c>
      <c r="C10" s="4" t="inlineStr"/>
      <c r="D10" s="4" t="inlineStr"/>
      <c r="E10" s="4" t="inlineStr"/>
      <c r="F10" s="13" t="inlineStr">
        <is>
          <t>MEDIUM</t>
        </is>
      </c>
      <c r="G10" s="4" t="inlineStr"/>
      <c r="H10" s="13" t="inlineStr">
        <is>
          <t>Ranking</t>
        </is>
      </c>
    </row>
    <row r="11">
      <c r="A11" s="13" t="n">
        <v>6</v>
      </c>
      <c r="B11" s="14" t="inlineStr">
        <is>
          <t>Each bullet addresses a unique benefit/feature</t>
        </is>
      </c>
      <c r="C11" s="4" t="inlineStr"/>
      <c r="D11" s="4" t="inlineStr"/>
      <c r="E11" s="4" t="inlineStr"/>
      <c r="F11" s="13" t="inlineStr">
        <is>
          <t>HIGH</t>
        </is>
      </c>
      <c r="G11" s="4" t="inlineStr"/>
      <c r="H11" s="13" t="inlineStr">
        <is>
          <t>CVR</t>
        </is>
      </c>
    </row>
    <row r="12">
      <c r="A12" s="13" t="n">
        <v>7</v>
      </c>
      <c r="B12" s="14" t="inlineStr">
        <is>
          <t>Bullets focus on BENEFITS, not just features</t>
        </is>
      </c>
      <c r="C12" s="4" t="inlineStr"/>
      <c r="D12" s="4" t="inlineStr"/>
      <c r="E12" s="4" t="inlineStr"/>
      <c r="F12" s="13" t="inlineStr">
        <is>
          <t>HIGH</t>
        </is>
      </c>
      <c r="G12" s="4" t="inlineStr"/>
      <c r="H12" s="13" t="inlineStr">
        <is>
          <t>CVR</t>
        </is>
      </c>
    </row>
    <row r="13">
      <c r="A13" s="13" t="n">
        <v>8</v>
      </c>
      <c r="B13" s="14" t="inlineStr">
        <is>
          <t>Quantified benefits where possible (numbers, %)</t>
        </is>
      </c>
      <c r="C13" s="4" t="inlineStr"/>
      <c r="D13" s="4" t="inlineStr"/>
      <c r="E13" s="4" t="inlineStr"/>
      <c r="F13" s="13" t="inlineStr">
        <is>
          <t>MEDIUM</t>
        </is>
      </c>
      <c r="G13" s="4" t="inlineStr"/>
      <c r="H13" s="13" t="inlineStr">
        <is>
          <t>Trust</t>
        </is>
      </c>
    </row>
    <row r="14">
      <c r="A14" s="13" t="n">
        <v>9</v>
      </c>
      <c r="B14" s="14" t="inlineStr">
        <is>
          <t>No promotional text in bullets</t>
        </is>
      </c>
      <c r="C14" s="4" t="inlineStr"/>
      <c r="D14" s="4" t="inlineStr"/>
      <c r="E14" s="4" t="inlineStr"/>
      <c r="F14" s="13" t="inlineStr">
        <is>
          <t>CRITICAL</t>
        </is>
      </c>
      <c r="G14" s="4" t="inlineStr"/>
      <c r="H14" s="13" t="inlineStr">
        <is>
          <t>Compliance</t>
        </is>
      </c>
    </row>
    <row r="15">
      <c r="A15" s="13" t="n">
        <v>10</v>
      </c>
      <c r="B15" s="14" t="inlineStr">
        <is>
          <t>Bullets are scannable (short sentences, fragments OK)</t>
        </is>
      </c>
      <c r="C15" s="4" t="inlineStr"/>
      <c r="D15" s="4" t="inlineStr"/>
      <c r="E15" s="4" t="inlineStr"/>
      <c r="F15" s="13" t="inlineStr">
        <is>
          <t>MEDIUM</t>
        </is>
      </c>
      <c r="G15" s="4" t="inlineStr"/>
      <c r="H15" s="13" t="inlineStr">
        <is>
          <t>Readability</t>
        </is>
      </c>
    </row>
    <row r="16">
      <c r="A16" s="13" t="n">
        <v>11</v>
      </c>
      <c r="B16" s="14" t="inlineStr">
        <is>
          <t>Addressed common objections/concerns in bullets</t>
        </is>
      </c>
      <c r="C16" s="4" t="inlineStr"/>
      <c r="D16" s="4" t="inlineStr"/>
      <c r="E16" s="4" t="inlineStr"/>
      <c r="F16" s="13" t="inlineStr">
        <is>
          <t>MEDIUM</t>
        </is>
      </c>
      <c r="G16" s="4" t="inlineStr"/>
      <c r="H16" s="13" t="inlineStr">
        <is>
          <t>CVR</t>
        </is>
      </c>
    </row>
    <row r="17">
      <c r="A17" s="13" t="n">
        <v>12</v>
      </c>
      <c r="B17" s="14" t="inlineStr">
        <is>
          <t>Bullet 1 = most important benefit (hooks reader)</t>
        </is>
      </c>
      <c r="C17" s="4" t="inlineStr"/>
      <c r="D17" s="4" t="inlineStr"/>
      <c r="E17" s="4" t="inlineStr"/>
      <c r="F17" s="13" t="inlineStr">
        <is>
          <t>HIGH</t>
        </is>
      </c>
      <c r="G17" s="4" t="inlineStr"/>
      <c r="H17" s="13" t="inlineStr">
        <is>
          <t>CVR</t>
        </is>
      </c>
    </row>
    <row r="18">
      <c r="B18" s="3" t="inlineStr">
        <is>
          <t>TOTAL SCORE</t>
        </is>
      </c>
      <c r="C18" s="8">
        <f>COUNTIF(C6:C17,"Pass")&amp;"/"&amp;COUNTA(C6:C17)</f>
        <v/>
      </c>
      <c r="D18" s="8">
        <f>IF(COUNT(D6:D17)&gt;0,AVERAGE(D6:D17),0)</f>
        <v/>
      </c>
    </row>
    <row r="19">
      <c r="B19" s="15" t="inlineStr">
        <is>
          <t>OVERALL BULLET SCORE (0-100)</t>
        </is>
      </c>
      <c r="D19" s="16">
        <f>ROUND(D18*100,0)</f>
        <v/>
      </c>
      <c r="N19">
        <f>D19</f>
        <v/>
      </c>
    </row>
  </sheetData>
  <mergeCells count="1">
    <mergeCell ref="A1:H1"/>
  </mergeCells>
  <conditionalFormatting sqref="D6:D17">
    <cfRule type="cellIs" priority="1" operator="greaterThanOrEqual" dxfId="0">
      <formula>0.8</formula>
    </cfRule>
    <cfRule type="cellIs" priority="2" operator="between" dxfId="1">
      <formula>0.5</formula>
      <formula>0.79</formula>
    </cfRule>
    <cfRule type="cellIs" priority="3" operator="lessThan" dxfId="2">
      <formula>0.5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B59B6"/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2" customWidth="1" min="3" max="3"/>
    <col width="12" customWidth="1" min="4" max="4"/>
    <col width="30" customWidth="1" min="5" max="5"/>
    <col width="12" customWidth="1" min="6" max="6"/>
    <col width="30" customWidth="1" min="7" max="7"/>
    <col width="12" customWidth="1" min="8" max="8"/>
  </cols>
  <sheetData>
    <row r="1" ht="35" customHeight="1">
      <c r="A1" s="1" t="inlineStr">
        <is>
          <t>DESCRIPTION &amp; A+ CONTENT AUDIT</t>
        </is>
      </c>
    </row>
    <row r="3">
      <c r="A3" s="7" t="inlineStr">
        <is>
          <t>#</t>
        </is>
      </c>
      <c r="B3" s="7" t="inlineStr">
        <is>
          <t>Check Item</t>
        </is>
      </c>
      <c r="C3" s="7" t="inlineStr">
        <is>
          <t>Pass/Fail</t>
        </is>
      </c>
      <c r="D3" s="7" t="inlineStr">
        <is>
          <t>Score (0-1)</t>
        </is>
      </c>
      <c r="E3" s="7" t="inlineStr">
        <is>
          <t>Notes</t>
        </is>
      </c>
      <c r="F3" s="7" t="inlineStr">
        <is>
          <t>Priority</t>
        </is>
      </c>
      <c r="G3" s="7" t="inlineStr">
        <is>
          <t>Action Required</t>
        </is>
      </c>
      <c r="H3" s="7" t="inlineStr">
        <is>
          <t>Impact</t>
        </is>
      </c>
    </row>
    <row r="4">
      <c r="A4" s="13" t="n">
        <v>1</v>
      </c>
      <c r="B4" s="14" t="inlineStr">
        <is>
          <t>Product description is present (not empty)</t>
        </is>
      </c>
      <c r="C4" s="4" t="inlineStr"/>
      <c r="D4" s="4" t="inlineStr"/>
      <c r="E4" s="4" t="inlineStr"/>
      <c r="F4" s="13" t="inlineStr">
        <is>
          <t>CRITICAL</t>
        </is>
      </c>
      <c r="G4" s="4" t="inlineStr"/>
      <c r="H4" s="13" t="inlineStr">
        <is>
          <t>Ranking</t>
        </is>
      </c>
    </row>
    <row r="5">
      <c r="A5" s="13" t="n">
        <v>2</v>
      </c>
      <c r="B5" s="14" t="inlineStr">
        <is>
          <t>Description is 1000+ characters</t>
        </is>
      </c>
      <c r="C5" s="4" t="inlineStr"/>
      <c r="D5" s="4" t="inlineStr"/>
      <c r="E5" s="4" t="inlineStr"/>
      <c r="F5" s="13" t="inlineStr">
        <is>
          <t>MEDIUM</t>
        </is>
      </c>
      <c r="G5" s="4" t="inlineStr"/>
      <c r="H5" s="13" t="inlineStr">
        <is>
          <t>Ranking</t>
        </is>
      </c>
    </row>
    <row r="6">
      <c r="A6" s="13" t="n">
        <v>3</v>
      </c>
      <c r="B6" s="14" t="inlineStr">
        <is>
          <t>Description includes relevant keywords naturally</t>
        </is>
      </c>
      <c r="C6" s="4" t="inlineStr"/>
      <c r="D6" s="4" t="inlineStr"/>
      <c r="E6" s="4" t="inlineStr"/>
      <c r="F6" s="13" t="inlineStr">
        <is>
          <t>HIGH</t>
        </is>
      </c>
      <c r="G6" s="4" t="inlineStr"/>
      <c r="H6" s="13" t="inlineStr">
        <is>
          <t>Ranking</t>
        </is>
      </c>
    </row>
    <row r="7">
      <c r="A7" s="13" t="n">
        <v>4</v>
      </c>
      <c r="B7" s="14" t="inlineStr">
        <is>
          <t>Description is formatted with HTML (bold, line breaks)</t>
        </is>
      </c>
      <c r="C7" s="4" t="inlineStr"/>
      <c r="D7" s="4" t="inlineStr"/>
      <c r="E7" s="4" t="inlineStr"/>
      <c r="F7" s="13" t="inlineStr">
        <is>
          <t>MEDIUM</t>
        </is>
      </c>
      <c r="G7" s="4" t="inlineStr"/>
      <c r="H7" s="13" t="inlineStr">
        <is>
          <t>Readability</t>
        </is>
      </c>
    </row>
    <row r="8">
      <c r="A8" s="13" t="n">
        <v>5</v>
      </c>
      <c r="B8" s="14" t="inlineStr">
        <is>
          <t>A+ Content (Enhanced Brand Content) is live</t>
        </is>
      </c>
      <c r="C8" s="4" t="inlineStr"/>
      <c r="D8" s="4" t="inlineStr"/>
      <c r="E8" s="4" t="inlineStr"/>
      <c r="F8" s="13" t="inlineStr">
        <is>
          <t>CRITICAL</t>
        </is>
      </c>
      <c r="G8" s="4" t="inlineStr"/>
      <c r="H8" s="13" t="inlineStr">
        <is>
          <t>CVR</t>
        </is>
      </c>
    </row>
    <row r="9">
      <c r="A9" s="13" t="n">
        <v>6</v>
      </c>
      <c r="B9" s="14" t="inlineStr">
        <is>
          <t>A+ Content includes comparison chart</t>
        </is>
      </c>
      <c r="C9" s="4" t="inlineStr"/>
      <c r="D9" s="4" t="inlineStr"/>
      <c r="E9" s="4" t="inlineStr"/>
      <c r="F9" s="13" t="inlineStr">
        <is>
          <t>MEDIUM</t>
        </is>
      </c>
      <c r="G9" s="4" t="inlineStr"/>
      <c r="H9" s="13" t="inlineStr">
        <is>
          <t>CVR</t>
        </is>
      </c>
    </row>
    <row r="10">
      <c r="A10" s="13" t="n">
        <v>7</v>
      </c>
      <c r="B10" s="14" t="inlineStr">
        <is>
          <t>A+ Content includes lifestyle images</t>
        </is>
      </c>
      <c r="C10" s="4" t="inlineStr"/>
      <c r="D10" s="4" t="inlineStr"/>
      <c r="E10" s="4" t="inlineStr"/>
      <c r="F10" s="13" t="inlineStr">
        <is>
          <t>HIGH</t>
        </is>
      </c>
      <c r="G10" s="4" t="inlineStr"/>
      <c r="H10" s="13" t="inlineStr">
        <is>
          <t>CVR</t>
        </is>
      </c>
    </row>
    <row r="11">
      <c r="A11" s="13" t="n">
        <v>8</v>
      </c>
      <c r="B11" s="14" t="inlineStr">
        <is>
          <t>A+ Content includes brand story module</t>
        </is>
      </c>
      <c r="C11" s="4" t="inlineStr"/>
      <c r="D11" s="4" t="inlineStr"/>
      <c r="E11" s="4" t="inlineStr"/>
      <c r="F11" s="13" t="inlineStr">
        <is>
          <t>MEDIUM</t>
        </is>
      </c>
      <c r="G11" s="4" t="inlineStr"/>
      <c r="H11" s="13" t="inlineStr">
        <is>
          <t>Brand</t>
        </is>
      </c>
    </row>
    <row r="12">
      <c r="A12" s="13" t="n">
        <v>9</v>
      </c>
      <c r="B12" s="14" t="inlineStr">
        <is>
          <t>A+ Content highlights 5+ key benefits</t>
        </is>
      </c>
      <c r="C12" s="4" t="inlineStr"/>
      <c r="D12" s="4" t="inlineStr"/>
      <c r="E12" s="4" t="inlineStr"/>
      <c r="F12" s="13" t="inlineStr">
        <is>
          <t>HIGH</t>
        </is>
      </c>
      <c r="G12" s="4" t="inlineStr"/>
      <c r="H12" s="13" t="inlineStr">
        <is>
          <t>CVR</t>
        </is>
      </c>
    </row>
    <row r="13">
      <c r="A13" s="13" t="n">
        <v>10</v>
      </c>
      <c r="B13" s="14" t="inlineStr">
        <is>
          <t>No spelling/grammar errors in description or A+</t>
        </is>
      </c>
      <c r="C13" s="4" t="inlineStr"/>
      <c r="D13" s="4" t="inlineStr"/>
      <c r="E13" s="4" t="inlineStr"/>
      <c r="F13" s="13" t="inlineStr">
        <is>
          <t>HIGH</t>
        </is>
      </c>
      <c r="G13" s="4" t="inlineStr"/>
      <c r="H13" s="13" t="inlineStr">
        <is>
          <t>Trust</t>
        </is>
      </c>
    </row>
    <row r="14">
      <c r="B14" s="3" t="inlineStr">
        <is>
          <t>TOTAL SCORE</t>
        </is>
      </c>
      <c r="C14" s="8">
        <f>COUNTIF(C4:C13,"Pass")&amp;"/"&amp;COUNTA(C4:C13)</f>
        <v/>
      </c>
      <c r="D14" s="8">
        <f>IF(COUNT(D4:D13)&gt;0,AVERAGE(D4:D13),0)</f>
        <v/>
      </c>
    </row>
    <row r="15">
      <c r="B15" s="15" t="inlineStr">
        <is>
          <t>OVERALL DESCRIPTION SCORE (0-100)</t>
        </is>
      </c>
      <c r="D15" s="16">
        <f>ROUND(D14*100,0)</f>
        <v/>
      </c>
      <c r="N15">
        <f>D15</f>
        <v/>
      </c>
    </row>
  </sheetData>
  <mergeCells count="1">
    <mergeCell ref="A1:H1"/>
  </mergeCells>
  <conditionalFormatting sqref="D4:D13">
    <cfRule type="cellIs" priority="1" operator="greaterThanOrEqual" dxfId="0">
      <formula>0.8</formula>
    </cfRule>
    <cfRule type="cellIs" priority="2" operator="between" dxfId="1">
      <formula>0.5</formula>
      <formula>0.79</formula>
    </cfRule>
    <cfRule type="cellIs" priority="3" operator="lessThan" dxfId="2">
      <formula>0.5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BC9C"/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2" customWidth="1" min="3" max="3"/>
    <col width="12" customWidth="1" min="4" max="4"/>
    <col width="30" customWidth="1" min="5" max="5"/>
    <col width="12" customWidth="1" min="6" max="6"/>
    <col width="30" customWidth="1" min="7" max="7"/>
    <col width="12" customWidth="1" min="8" max="8"/>
  </cols>
  <sheetData>
    <row r="1" ht="35" customHeight="1">
      <c r="A1" s="1" t="inlineStr">
        <is>
          <t>BACKEND SEARCH TERMS AUDIT</t>
        </is>
      </c>
    </row>
    <row r="3">
      <c r="A3" s="3" t="inlineStr">
        <is>
          <t>Backend Search Terms:</t>
        </is>
      </c>
      <c r="B3" s="4" t="inlineStr"/>
      <c r="C3" s="17" t="inlineStr">
        <is>
          <t>(paste full backend terms here)</t>
        </is>
      </c>
    </row>
    <row r="4">
      <c r="A4" s="3" t="inlineStr">
        <is>
          <t>Characters Used:</t>
        </is>
      </c>
      <c r="B4" s="8">
        <f>LEN(B3)</f>
        <v/>
      </c>
      <c r="C4" s="17" t="inlineStr">
        <is>
          <t>bytes (max 249 bytes)</t>
        </is>
      </c>
    </row>
    <row r="5">
      <c r="A5" s="3" t="inlineStr">
        <is>
          <t>Bytes Remaining:</t>
        </is>
      </c>
      <c r="B5" s="8">
        <f>249-B4</f>
        <v/>
      </c>
    </row>
    <row r="7">
      <c r="A7" s="7" t="inlineStr">
        <is>
          <t>#</t>
        </is>
      </c>
      <c r="B7" s="7" t="inlineStr">
        <is>
          <t>Check Item</t>
        </is>
      </c>
      <c r="C7" s="7" t="inlineStr">
        <is>
          <t>Pass/Fail</t>
        </is>
      </c>
      <c r="D7" s="7" t="inlineStr">
        <is>
          <t>Score (0-1)</t>
        </is>
      </c>
      <c r="E7" s="7" t="inlineStr">
        <is>
          <t>Notes</t>
        </is>
      </c>
      <c r="F7" s="7" t="inlineStr">
        <is>
          <t>Priority</t>
        </is>
      </c>
      <c r="G7" s="7" t="inlineStr">
        <is>
          <t>Action Required</t>
        </is>
      </c>
      <c r="H7" s="7" t="inlineStr">
        <is>
          <t>Impact</t>
        </is>
      </c>
    </row>
    <row r="8">
      <c r="A8" s="13" t="n">
        <v>1</v>
      </c>
      <c r="B8" s="14" t="inlineStr">
        <is>
          <t>Backend search terms are filled (not empty)</t>
        </is>
      </c>
      <c r="C8" s="4" t="inlineStr"/>
      <c r="D8" s="4" t="inlineStr"/>
      <c r="E8" s="4" t="inlineStr"/>
      <c r="F8" s="13" t="inlineStr">
        <is>
          <t>CRITICAL</t>
        </is>
      </c>
      <c r="G8" s="4" t="inlineStr"/>
      <c r="H8" s="13" t="inlineStr">
        <is>
          <t>Ranking</t>
        </is>
      </c>
    </row>
    <row r="9">
      <c r="A9" s="13" t="n">
        <v>2</v>
      </c>
      <c r="B9" s="14" t="inlineStr">
        <is>
          <t>Using all 249 bytes available</t>
        </is>
      </c>
      <c r="C9" s="4" t="inlineStr"/>
      <c r="D9" s="4" t="inlineStr"/>
      <c r="E9" s="4" t="inlineStr"/>
      <c r="F9" s="13" t="inlineStr">
        <is>
          <t>HIGH</t>
        </is>
      </c>
      <c r="G9" s="4" t="inlineStr"/>
      <c r="H9" s="13" t="inlineStr">
        <is>
          <t>Ranking</t>
        </is>
      </c>
    </row>
    <row r="10">
      <c r="A10" s="13" t="n">
        <v>3</v>
      </c>
      <c r="B10" s="14" t="inlineStr">
        <is>
          <t>No repeated keywords already in title/bullets</t>
        </is>
      </c>
      <c r="C10" s="4" t="inlineStr"/>
      <c r="D10" s="4" t="inlineStr"/>
      <c r="E10" s="4" t="inlineStr"/>
      <c r="F10" s="13" t="inlineStr">
        <is>
          <t>HIGH</t>
        </is>
      </c>
      <c r="G10" s="4" t="inlineStr"/>
      <c r="H10" s="13" t="inlineStr">
        <is>
          <t>Efficiency</t>
        </is>
      </c>
    </row>
    <row r="11">
      <c r="A11" s="13" t="n">
        <v>4</v>
      </c>
      <c r="B11" s="14" t="inlineStr">
        <is>
          <t>No brand names (yours or competitors) in backend</t>
        </is>
      </c>
      <c r="C11" s="4" t="inlineStr"/>
      <c r="D11" s="4" t="inlineStr"/>
      <c r="E11" s="4" t="inlineStr"/>
      <c r="F11" s="13" t="inlineStr">
        <is>
          <t>MEDIUM</t>
        </is>
      </c>
      <c r="G11" s="4" t="inlineStr"/>
      <c r="H11" s="13" t="inlineStr">
        <is>
          <t>Compliance</t>
        </is>
      </c>
    </row>
    <row r="12">
      <c r="A12" s="13" t="n">
        <v>5</v>
      </c>
      <c r="B12" s="14" t="inlineStr">
        <is>
          <t>No ASINs in backend terms</t>
        </is>
      </c>
      <c r="C12" s="4" t="inlineStr"/>
      <c r="D12" s="4" t="inlineStr"/>
      <c r="E12" s="4" t="inlineStr"/>
      <c r="F12" s="13" t="inlineStr">
        <is>
          <t>MEDIUM</t>
        </is>
      </c>
      <c r="G12" s="4" t="inlineStr"/>
      <c r="H12" s="13" t="inlineStr">
        <is>
          <t>Compliance</t>
        </is>
      </c>
    </row>
    <row r="13">
      <c r="A13" s="13" t="n">
        <v>6</v>
      </c>
      <c r="B13" s="14" t="inlineStr">
        <is>
          <t>Includes misspellings of common keywords</t>
        </is>
      </c>
      <c r="C13" s="4" t="inlineStr"/>
      <c r="D13" s="4" t="inlineStr"/>
      <c r="E13" s="4" t="inlineStr"/>
      <c r="F13" s="13" t="inlineStr">
        <is>
          <t>MEDIUM</t>
        </is>
      </c>
      <c r="G13" s="4" t="inlineStr"/>
      <c r="H13" s="13" t="inlineStr">
        <is>
          <t>Ranking</t>
        </is>
      </c>
    </row>
    <row r="14">
      <c r="A14" s="13" t="n">
        <v>7</v>
      </c>
      <c r="B14" s="14" t="inlineStr">
        <is>
          <t>Includes Spanish/other language terms (if applicable)</t>
        </is>
      </c>
      <c r="C14" s="4" t="inlineStr"/>
      <c r="D14" s="4" t="inlineStr"/>
      <c r="E14" s="4" t="inlineStr"/>
      <c r="F14" s="13" t="inlineStr">
        <is>
          <t>LOW</t>
        </is>
      </c>
      <c r="G14" s="4" t="inlineStr"/>
      <c r="H14" s="13" t="inlineStr">
        <is>
          <t>Ranking</t>
        </is>
      </c>
    </row>
    <row r="15">
      <c r="A15" s="13" t="n">
        <v>8</v>
      </c>
      <c r="B15" s="14" t="inlineStr">
        <is>
          <t>No special characters or punctuation</t>
        </is>
      </c>
      <c r="C15" s="4" t="inlineStr"/>
      <c r="D15" s="4" t="inlineStr"/>
      <c r="E15" s="4" t="inlineStr"/>
      <c r="F15" s="13" t="inlineStr">
        <is>
          <t>HIGH</t>
        </is>
      </c>
      <c r="G15" s="4" t="inlineStr"/>
      <c r="H15" s="13" t="inlineStr">
        <is>
          <t>Compliance</t>
        </is>
      </c>
    </row>
    <row r="16">
      <c r="A16" s="13" t="n">
        <v>9</v>
      </c>
      <c r="B16" s="14" t="inlineStr">
        <is>
          <t>Keywords are space-separated (not comma-separated)</t>
        </is>
      </c>
      <c r="C16" s="4" t="inlineStr"/>
      <c r="D16" s="4" t="inlineStr"/>
      <c r="E16" s="4" t="inlineStr"/>
      <c r="F16" s="13" t="inlineStr">
        <is>
          <t>HIGH</t>
        </is>
      </c>
      <c r="G16" s="4" t="inlineStr"/>
      <c r="H16" s="13" t="inlineStr">
        <is>
          <t>Compliance</t>
        </is>
      </c>
    </row>
    <row r="17">
      <c r="A17" s="13" t="n">
        <v>10</v>
      </c>
      <c r="B17" s="14" t="inlineStr">
        <is>
          <t>Includes synonyms and alternative terms</t>
        </is>
      </c>
      <c r="C17" s="4" t="inlineStr"/>
      <c r="D17" s="4" t="inlineStr"/>
      <c r="E17" s="4" t="inlineStr"/>
      <c r="F17" s="13" t="inlineStr">
        <is>
          <t>MEDIUM</t>
        </is>
      </c>
      <c r="G17" s="4" t="inlineStr"/>
      <c r="H17" s="13" t="inlineStr">
        <is>
          <t>Ranking</t>
        </is>
      </c>
    </row>
    <row r="18">
      <c r="B18" s="3" t="inlineStr">
        <is>
          <t>TOTAL SCORE</t>
        </is>
      </c>
      <c r="C18" s="8">
        <f>COUNTIF(C8:C17,"Pass")&amp;"/"&amp;COUNTA(C8:C17)</f>
        <v/>
      </c>
      <c r="D18" s="8">
        <f>IF(COUNT(D8:D17)&gt;0,AVERAGE(D8:D17),0)</f>
        <v/>
      </c>
    </row>
    <row r="19">
      <c r="B19" s="15" t="inlineStr">
        <is>
          <t>OVERALL BACKEND SCORE (0-100)</t>
        </is>
      </c>
      <c r="D19" s="16">
        <f>ROUND(D18*100,0)</f>
        <v/>
      </c>
      <c r="N19">
        <f>D19</f>
        <v/>
      </c>
    </row>
  </sheetData>
  <mergeCells count="1">
    <mergeCell ref="A1:H1"/>
  </mergeCells>
  <conditionalFormatting sqref="D8:D17">
    <cfRule type="cellIs" priority="1" operator="greaterThanOrEqual" dxfId="0">
      <formula>0.8</formula>
    </cfRule>
    <cfRule type="cellIs" priority="2" operator="between" dxfId="1">
      <formula>0.5</formula>
      <formula>0.79</formula>
    </cfRule>
    <cfRule type="cellIs" priority="3" operator="lessThan" dxfId="2">
      <formula>0.5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1C40F"/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2" customWidth="1" min="3" max="3"/>
    <col width="12" customWidth="1" min="4" max="4"/>
    <col width="30" customWidth="1" min="5" max="5"/>
    <col width="12" customWidth="1" min="6" max="6"/>
    <col width="30" customWidth="1" min="7" max="7"/>
    <col width="12" customWidth="1" min="8" max="8"/>
  </cols>
  <sheetData>
    <row r="1" ht="35" customHeight="1">
      <c r="A1" s="1" t="inlineStr">
        <is>
          <t>PRICING &amp; COMPETITIVE AUDIT</t>
        </is>
      </c>
    </row>
    <row r="3">
      <c r="A3" s="3" t="inlineStr">
        <is>
          <t>Your Price:</t>
        </is>
      </c>
      <c r="B3" s="4" t="inlineStr"/>
      <c r="C3" s="17" t="inlineStr">
        <is>
          <t>$</t>
        </is>
      </c>
    </row>
    <row r="4">
      <c r="A4" s="3" t="inlineStr">
        <is>
          <t>Category Avg Price:</t>
        </is>
      </c>
      <c r="B4" s="4" t="inlineStr"/>
      <c r="C4" s="17" t="inlineStr">
        <is>
          <t>$</t>
        </is>
      </c>
    </row>
    <row r="5">
      <c r="A5" s="3" t="inlineStr">
        <is>
          <t>Price vs. Average:</t>
        </is>
      </c>
      <c r="B5" s="8">
        <f>IF(B4&gt;0,((B3-B4)/B4)*100,)</f>
        <v/>
      </c>
      <c r="C5" s="17" t="inlineStr">
        <is>
          <t>%</t>
        </is>
      </c>
    </row>
    <row r="7">
      <c r="A7" s="7" t="inlineStr">
        <is>
          <t>#</t>
        </is>
      </c>
      <c r="B7" s="7" t="inlineStr">
        <is>
          <t>Check Item</t>
        </is>
      </c>
      <c r="C7" s="7" t="inlineStr">
        <is>
          <t>Pass/Fail</t>
        </is>
      </c>
      <c r="D7" s="7" t="inlineStr">
        <is>
          <t>Score (0-1)</t>
        </is>
      </c>
      <c r="E7" s="7" t="inlineStr">
        <is>
          <t>Notes</t>
        </is>
      </c>
      <c r="F7" s="7" t="inlineStr">
        <is>
          <t>Priority</t>
        </is>
      </c>
      <c r="G7" s="7" t="inlineStr">
        <is>
          <t>Action Required</t>
        </is>
      </c>
      <c r="H7" s="7" t="inlineStr">
        <is>
          <t>Impact</t>
        </is>
      </c>
    </row>
    <row r="8">
      <c r="A8" s="13" t="n">
        <v>1</v>
      </c>
      <c r="B8" s="14" t="inlineStr">
        <is>
          <t>Price is competitive within +/-15% of category average</t>
        </is>
      </c>
      <c r="C8" s="4" t="inlineStr"/>
      <c r="D8" s="4" t="inlineStr"/>
      <c r="E8" s="4" t="inlineStr"/>
      <c r="F8" s="13" t="inlineStr">
        <is>
          <t>CRITICAL</t>
        </is>
      </c>
      <c r="G8" s="4" t="inlineStr"/>
      <c r="H8" s="13" t="inlineStr">
        <is>
          <t>CVR</t>
        </is>
      </c>
    </row>
    <row r="9">
      <c r="A9" s="13" t="n">
        <v>2</v>
      </c>
      <c r="B9" s="14" t="inlineStr">
        <is>
          <t>Coupon/deal active (if applicable)</t>
        </is>
      </c>
      <c r="C9" s="4" t="inlineStr"/>
      <c r="D9" s="4" t="inlineStr"/>
      <c r="E9" s="4" t="inlineStr"/>
      <c r="F9" s="13" t="inlineStr">
        <is>
          <t>HIGH</t>
        </is>
      </c>
      <c r="G9" s="4" t="inlineStr"/>
      <c r="H9" s="13" t="inlineStr">
        <is>
          <t>CTR</t>
        </is>
      </c>
    </row>
    <row r="10">
      <c r="A10" s="13" t="n">
        <v>3</v>
      </c>
      <c r="B10" s="14" t="inlineStr">
        <is>
          <t>Price ends in .99 or .97 (psychological pricing)</t>
        </is>
      </c>
      <c r="C10" s="4" t="inlineStr"/>
      <c r="D10" s="4" t="inlineStr"/>
      <c r="E10" s="4" t="inlineStr"/>
      <c r="F10" s="13" t="inlineStr">
        <is>
          <t>LOW</t>
        </is>
      </c>
      <c r="G10" s="4" t="inlineStr"/>
      <c r="H10" s="13" t="inlineStr">
        <is>
          <t>CVR</t>
        </is>
      </c>
    </row>
    <row r="11">
      <c r="A11" s="13" t="n">
        <v>4</v>
      </c>
      <c r="B11" s="14" t="inlineStr">
        <is>
          <t>Subscribe &amp; Save enabled (if eligible)</t>
        </is>
      </c>
      <c r="C11" s="4" t="inlineStr"/>
      <c r="D11" s="4" t="inlineStr"/>
      <c r="E11" s="4" t="inlineStr"/>
      <c r="F11" s="13" t="inlineStr">
        <is>
          <t>MEDIUM</t>
        </is>
      </c>
      <c r="G11" s="4" t="inlineStr"/>
      <c r="H11" s="13" t="inlineStr">
        <is>
          <t>Retention</t>
        </is>
      </c>
    </row>
    <row r="12">
      <c r="A12" s="13" t="n">
        <v>5</v>
      </c>
      <c r="B12" s="14" t="inlineStr">
        <is>
          <t>Prime eligible (FBA or SFP)</t>
        </is>
      </c>
      <c r="C12" s="4" t="inlineStr"/>
      <c r="D12" s="4" t="inlineStr"/>
      <c r="E12" s="4" t="inlineStr"/>
      <c r="F12" s="13" t="inlineStr">
        <is>
          <t>CRITICAL</t>
        </is>
      </c>
      <c r="G12" s="4" t="inlineStr"/>
      <c r="H12" s="13" t="inlineStr">
        <is>
          <t>CVR</t>
        </is>
      </c>
    </row>
    <row r="13">
      <c r="A13" s="13" t="n">
        <v>6</v>
      </c>
      <c r="B13" s="14" t="inlineStr">
        <is>
          <t>Price supports target ACoS for PPC</t>
        </is>
      </c>
      <c r="C13" s="4" t="inlineStr"/>
      <c r="D13" s="4" t="inlineStr"/>
      <c r="E13" s="4" t="inlineStr"/>
      <c r="F13" s="13" t="inlineStr">
        <is>
          <t>HIGH</t>
        </is>
      </c>
      <c r="G13" s="4" t="inlineStr"/>
      <c r="H13" s="13" t="inlineStr">
        <is>
          <t>PPC</t>
        </is>
      </c>
    </row>
    <row r="14">
      <c r="A14" s="13" t="n">
        <v>7</v>
      </c>
      <c r="B14" s="14" t="inlineStr">
        <is>
          <t>Bundle/multi-pack option available</t>
        </is>
      </c>
      <c r="C14" s="4" t="inlineStr"/>
      <c r="D14" s="4" t="inlineStr"/>
      <c r="E14" s="4" t="inlineStr"/>
      <c r="F14" s="13" t="inlineStr">
        <is>
          <t>MEDIUM</t>
        </is>
      </c>
      <c r="G14" s="4" t="inlineStr"/>
      <c r="H14" s="13" t="inlineStr">
        <is>
          <t>AOV</t>
        </is>
      </c>
    </row>
    <row r="15">
      <c r="A15" s="13" t="n">
        <v>8</v>
      </c>
      <c r="B15" s="14" t="inlineStr">
        <is>
          <t>Price positioning matches brand tier</t>
        </is>
      </c>
      <c r="C15" s="4" t="inlineStr"/>
      <c r="D15" s="4" t="inlineStr"/>
      <c r="E15" s="4" t="inlineStr"/>
      <c r="F15" s="13" t="inlineStr">
        <is>
          <t>MEDIUM</t>
        </is>
      </c>
      <c r="G15" s="4" t="inlineStr"/>
      <c r="H15" s="13" t="inlineStr">
        <is>
          <t>Brand</t>
        </is>
      </c>
    </row>
    <row r="16">
      <c r="B16" s="3" t="inlineStr">
        <is>
          <t>TOTAL SCORE</t>
        </is>
      </c>
      <c r="C16" s="8">
        <f>COUNTIF(C8:C15,"Pass")&amp;"/"&amp;COUNTA(C8:C15)</f>
        <v/>
      </c>
      <c r="D16" s="8">
        <f>IF(COUNT(D8:D15)&gt;0,AVERAGE(D8:D15),0)</f>
        <v/>
      </c>
    </row>
    <row r="17">
      <c r="B17" s="15" t="inlineStr">
        <is>
          <t>OVERALL PRICING SCORE (0-100)</t>
        </is>
      </c>
      <c r="D17" s="16">
        <f>ROUND(D16*100,0)</f>
        <v/>
      </c>
      <c r="N17">
        <f>D17</f>
        <v/>
      </c>
    </row>
  </sheetData>
  <mergeCells count="1">
    <mergeCell ref="A1:H1"/>
  </mergeCells>
  <conditionalFormatting sqref="D8:D15">
    <cfRule type="cellIs" priority="1" operator="greaterThanOrEqual" dxfId="0">
      <formula>0.8</formula>
    </cfRule>
    <cfRule type="cellIs" priority="2" operator="between" dxfId="1">
      <formula>0.5</formula>
      <formula>0.79</formula>
    </cfRule>
    <cfRule type="cellIs" priority="3" operator="lessThan" dxfId="2">
      <formula>0.5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2" customWidth="1" min="3" max="3"/>
    <col width="12" customWidth="1" min="4" max="4"/>
    <col width="30" customWidth="1" min="5" max="5"/>
    <col width="12" customWidth="1" min="6" max="6"/>
    <col width="30" customWidth="1" min="7" max="7"/>
    <col width="12" customWidth="1" min="8" max="8"/>
  </cols>
  <sheetData>
    <row r="1" ht="35" customHeight="1">
      <c r="A1" s="1" t="inlineStr">
        <is>
          <t>REVIEWS HEALTH AUDIT</t>
        </is>
      </c>
    </row>
    <row r="3">
      <c r="A3" s="3" t="inlineStr">
        <is>
          <t>Total Reviews:</t>
        </is>
      </c>
      <c r="B3" s="4" t="inlineStr"/>
    </row>
    <row r="4">
      <c r="A4" s="3" t="inlineStr">
        <is>
          <t>Average Rating:</t>
        </is>
      </c>
      <c r="B4" s="4" t="inlineStr"/>
      <c r="C4" s="17" t="inlineStr">
        <is>
          <t>out of 5.0</t>
        </is>
      </c>
    </row>
    <row r="5">
      <c r="A5" s="3" t="inlineStr">
        <is>
          <t>Review Velocity:</t>
        </is>
      </c>
      <c r="B5" s="4" t="inlineStr"/>
      <c r="C5" s="17" t="inlineStr">
        <is>
          <t>reviews/month</t>
        </is>
      </c>
    </row>
    <row r="7">
      <c r="A7" s="7" t="inlineStr">
        <is>
          <t>#</t>
        </is>
      </c>
      <c r="B7" s="7" t="inlineStr">
        <is>
          <t>Check Item</t>
        </is>
      </c>
      <c r="C7" s="7" t="inlineStr">
        <is>
          <t>Pass/Fail</t>
        </is>
      </c>
      <c r="D7" s="7" t="inlineStr">
        <is>
          <t>Score (0-1)</t>
        </is>
      </c>
      <c r="E7" s="7" t="inlineStr">
        <is>
          <t>Notes</t>
        </is>
      </c>
      <c r="F7" s="7" t="inlineStr">
        <is>
          <t>Priority</t>
        </is>
      </c>
      <c r="G7" s="7" t="inlineStr">
        <is>
          <t>Action Required</t>
        </is>
      </c>
      <c r="H7" s="7" t="inlineStr">
        <is>
          <t>Impact</t>
        </is>
      </c>
    </row>
    <row r="8">
      <c r="A8" s="13" t="n">
        <v>1</v>
      </c>
      <c r="B8" s="14" t="inlineStr">
        <is>
          <t>15+ reviews (minimum for social proof)</t>
        </is>
      </c>
      <c r="C8" s="4" t="inlineStr"/>
      <c r="D8" s="4" t="inlineStr"/>
      <c r="E8" s="4" t="inlineStr"/>
      <c r="F8" s="13" t="inlineStr">
        <is>
          <t>CRITICAL</t>
        </is>
      </c>
      <c r="G8" s="4" t="inlineStr"/>
      <c r="H8" s="13" t="inlineStr">
        <is>
          <t>CVR</t>
        </is>
      </c>
    </row>
    <row r="9">
      <c r="A9" s="13" t="n">
        <v>2</v>
      </c>
      <c r="B9" s="14" t="inlineStr">
        <is>
          <t>4.0+ star average rating</t>
        </is>
      </c>
      <c r="C9" s="4" t="inlineStr"/>
      <c r="D9" s="4" t="inlineStr"/>
      <c r="E9" s="4" t="inlineStr"/>
      <c r="F9" s="13" t="inlineStr">
        <is>
          <t>CRITICAL</t>
        </is>
      </c>
      <c r="G9" s="4" t="inlineStr"/>
      <c r="H9" s="13" t="inlineStr">
        <is>
          <t>CVR</t>
        </is>
      </c>
    </row>
    <row r="10">
      <c r="A10" s="13" t="n">
        <v>3</v>
      </c>
      <c r="B10" s="14" t="inlineStr">
        <is>
          <t>Review velocity: 5+ reviews/month</t>
        </is>
      </c>
      <c r="C10" s="4" t="inlineStr"/>
      <c r="D10" s="4" t="inlineStr"/>
      <c r="E10" s="4" t="inlineStr"/>
      <c r="F10" s="13" t="inlineStr">
        <is>
          <t>HIGH</t>
        </is>
      </c>
      <c r="G10" s="4" t="inlineStr"/>
      <c r="H10" s="13" t="inlineStr">
        <is>
          <t>Growth</t>
        </is>
      </c>
    </row>
    <row r="11">
      <c r="A11" s="13" t="n">
        <v>4</v>
      </c>
      <c r="B11" s="14" t="inlineStr">
        <is>
          <t>Recent reviews (within last 30 days)</t>
        </is>
      </c>
      <c r="C11" s="4" t="inlineStr"/>
      <c r="D11" s="4" t="inlineStr"/>
      <c r="E11" s="4" t="inlineStr"/>
      <c r="F11" s="13" t="inlineStr">
        <is>
          <t>HIGH</t>
        </is>
      </c>
      <c r="G11" s="4" t="inlineStr"/>
      <c r="H11" s="13" t="inlineStr">
        <is>
          <t>Trust</t>
        </is>
      </c>
    </row>
    <row r="12">
      <c r="A12" s="13" t="n">
        <v>5</v>
      </c>
      <c r="B12" s="14" t="inlineStr">
        <is>
          <t>No verified negative review patterns</t>
        </is>
      </c>
      <c r="C12" s="4" t="inlineStr"/>
      <c r="D12" s="4" t="inlineStr"/>
      <c r="E12" s="4" t="inlineStr"/>
      <c r="F12" s="13" t="inlineStr">
        <is>
          <t>HIGH</t>
        </is>
      </c>
      <c r="G12" s="4" t="inlineStr"/>
      <c r="H12" s="13" t="inlineStr">
        <is>
          <t>Trust</t>
        </is>
      </c>
    </row>
    <row r="13">
      <c r="A13" s="13" t="n">
        <v>6</v>
      </c>
      <c r="B13" s="14" t="inlineStr">
        <is>
          <t>Customer photos/videos in reviews</t>
        </is>
      </c>
      <c r="C13" s="4" t="inlineStr"/>
      <c r="D13" s="4" t="inlineStr"/>
      <c r="E13" s="4" t="inlineStr"/>
      <c r="F13" s="13" t="inlineStr">
        <is>
          <t>MEDIUM</t>
        </is>
      </c>
      <c r="G13" s="4" t="inlineStr"/>
      <c r="H13" s="13" t="inlineStr">
        <is>
          <t>CVR</t>
        </is>
      </c>
    </row>
    <row r="14">
      <c r="A14" s="13" t="n">
        <v>7</v>
      </c>
      <c r="B14" s="14" t="inlineStr">
        <is>
          <t>Seller responses to negative reviews</t>
        </is>
      </c>
      <c r="C14" s="4" t="inlineStr"/>
      <c r="D14" s="4" t="inlineStr"/>
      <c r="E14" s="4" t="inlineStr"/>
      <c r="F14" s="13" t="inlineStr">
        <is>
          <t>MEDIUM</t>
        </is>
      </c>
      <c r="G14" s="4" t="inlineStr"/>
      <c r="H14" s="13" t="inlineStr">
        <is>
          <t>Trust</t>
        </is>
      </c>
    </row>
    <row r="15">
      <c r="A15" s="13" t="n">
        <v>8</v>
      </c>
      <c r="B15" s="14" t="inlineStr">
        <is>
          <t>Review highlights match key benefits</t>
        </is>
      </c>
      <c r="C15" s="4" t="inlineStr"/>
      <c r="D15" s="4" t="inlineStr"/>
      <c r="E15" s="4" t="inlineStr"/>
      <c r="F15" s="13" t="inlineStr">
        <is>
          <t>MEDIUM</t>
        </is>
      </c>
      <c r="G15" s="4" t="inlineStr"/>
      <c r="H15" s="13" t="inlineStr">
        <is>
          <t>Alignment</t>
        </is>
      </c>
    </row>
    <row r="16">
      <c r="A16" s="13" t="n">
        <v>9</v>
      </c>
      <c r="B16" s="14" t="inlineStr">
        <is>
          <t>No review manipulation detected</t>
        </is>
      </c>
      <c r="C16" s="4" t="inlineStr"/>
      <c r="D16" s="4" t="inlineStr"/>
      <c r="E16" s="4" t="inlineStr"/>
      <c r="F16" s="13" t="inlineStr">
        <is>
          <t>CRITICAL</t>
        </is>
      </c>
      <c r="G16" s="4" t="inlineStr"/>
      <c r="H16" s="13" t="inlineStr">
        <is>
          <t>Compliance</t>
        </is>
      </c>
    </row>
    <row r="17">
      <c r="A17" s="13" t="n">
        <v>10</v>
      </c>
      <c r="B17" s="14" t="inlineStr">
        <is>
          <t>Vine program enrolled (if new product)</t>
        </is>
      </c>
      <c r="C17" s="4" t="inlineStr"/>
      <c r="D17" s="4" t="inlineStr"/>
      <c r="E17" s="4" t="inlineStr"/>
      <c r="F17" s="13" t="inlineStr">
        <is>
          <t>HIGH</t>
        </is>
      </c>
      <c r="G17" s="4" t="inlineStr"/>
      <c r="H17" s="13" t="inlineStr">
        <is>
          <t>Launch</t>
        </is>
      </c>
    </row>
    <row r="18">
      <c r="B18" s="3" t="inlineStr">
        <is>
          <t>TOTAL SCORE</t>
        </is>
      </c>
      <c r="C18" s="8">
        <f>COUNTIF(C8:C17,"Pass")&amp;"/"&amp;COUNTA(C8:C17)</f>
        <v/>
      </c>
      <c r="D18" s="8">
        <f>IF(COUNT(D8:D17)&gt;0,AVERAGE(D8:D17),0)</f>
        <v/>
      </c>
    </row>
    <row r="19">
      <c r="B19" s="15" t="inlineStr">
        <is>
          <t>OVERALL REVIEWS SCORE (0-100)</t>
        </is>
      </c>
      <c r="D19" s="16">
        <f>ROUND(D18*100,0)</f>
        <v/>
      </c>
      <c r="N19">
        <f>D19</f>
        <v/>
      </c>
    </row>
  </sheetData>
  <mergeCells count="1">
    <mergeCell ref="A1:H1"/>
  </mergeCells>
  <conditionalFormatting sqref="D8:D17">
    <cfRule type="cellIs" priority="1" operator="greaterThanOrEqual" dxfId="0">
      <formula>0.8</formula>
    </cfRule>
    <cfRule type="cellIs" priority="2" operator="between" dxfId="1">
      <formula>0.5</formula>
      <formula>0.79</formula>
    </cfRule>
    <cfRule type="cellIs" priority="3" operator="lessThan" dxfId="2">
      <formula>0.5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C3E50"/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2" customWidth="1" min="3" max="3"/>
    <col width="12" customWidth="1" min="4" max="4"/>
    <col width="30" customWidth="1" min="5" max="5"/>
    <col width="12" customWidth="1" min="6" max="6"/>
    <col width="30" customWidth="1" min="7" max="7"/>
    <col width="12" customWidth="1" min="8" max="8"/>
  </cols>
  <sheetData>
    <row r="1" ht="35" customHeight="1">
      <c r="A1" s="1" t="inlineStr">
        <is>
          <t>PPC READINESS AUDIT</t>
        </is>
      </c>
    </row>
    <row r="3">
      <c r="A3" s="7" t="inlineStr">
        <is>
          <t>#</t>
        </is>
      </c>
      <c r="B3" s="7" t="inlineStr">
        <is>
          <t>Check Item</t>
        </is>
      </c>
      <c r="C3" s="7" t="inlineStr">
        <is>
          <t>Pass/Fail</t>
        </is>
      </c>
      <c r="D3" s="7" t="inlineStr">
        <is>
          <t>Score (0-1)</t>
        </is>
      </c>
      <c r="E3" s="7" t="inlineStr">
        <is>
          <t>Notes</t>
        </is>
      </c>
      <c r="F3" s="7" t="inlineStr">
        <is>
          <t>Priority</t>
        </is>
      </c>
      <c r="G3" s="7" t="inlineStr">
        <is>
          <t>Action Required</t>
        </is>
      </c>
      <c r="H3" s="7" t="inlineStr">
        <is>
          <t>Impact</t>
        </is>
      </c>
    </row>
    <row r="4">
      <c r="A4" s="13" t="n">
        <v>1</v>
      </c>
      <c r="B4" s="14" t="inlineStr">
        <is>
          <t>Main image optimized for CTR (white bg, product fills frame)</t>
        </is>
      </c>
      <c r="C4" s="4" t="inlineStr"/>
      <c r="D4" s="4" t="inlineStr"/>
      <c r="E4" s="4" t="inlineStr"/>
      <c r="F4" s="13" t="inlineStr">
        <is>
          <t>CRITICAL</t>
        </is>
      </c>
      <c r="G4" s="4" t="inlineStr"/>
      <c r="H4" s="13" t="inlineStr">
        <is>
          <t>CTR</t>
        </is>
      </c>
    </row>
    <row r="5">
      <c r="A5" s="13" t="n">
        <v>2</v>
      </c>
      <c r="B5" s="14" t="inlineStr">
        <is>
          <t>Title includes primary PPC keyword</t>
        </is>
      </c>
      <c r="C5" s="4" t="inlineStr"/>
      <c r="D5" s="4" t="inlineStr"/>
      <c r="E5" s="4" t="inlineStr"/>
      <c r="F5" s="13" t="inlineStr">
        <is>
          <t>CRITICAL</t>
        </is>
      </c>
      <c r="G5" s="4" t="inlineStr"/>
      <c r="H5" s="13" t="inlineStr">
        <is>
          <t>Quality Score</t>
        </is>
      </c>
    </row>
    <row r="6">
      <c r="A6" s="13" t="n">
        <v>3</v>
      </c>
      <c r="B6" s="14" t="inlineStr">
        <is>
          <t>Listing converts at 10%+ CVR (or has strong social proof)</t>
        </is>
      </c>
      <c r="C6" s="4" t="inlineStr"/>
      <c r="D6" s="4" t="inlineStr"/>
      <c r="E6" s="4" t="inlineStr"/>
      <c r="F6" s="13" t="inlineStr">
        <is>
          <t>HIGH</t>
        </is>
      </c>
      <c r="G6" s="4" t="inlineStr"/>
      <c r="H6" s="13" t="inlineStr">
        <is>
          <t>ACoS</t>
        </is>
      </c>
    </row>
    <row r="7">
      <c r="A7" s="13" t="n">
        <v>4</v>
      </c>
      <c r="B7" s="14" t="inlineStr">
        <is>
          <t>15+ reviews with 4.0+ rating</t>
        </is>
      </c>
      <c r="C7" s="4" t="inlineStr"/>
      <c r="D7" s="4" t="inlineStr"/>
      <c r="E7" s="4" t="inlineStr"/>
      <c r="F7" s="13" t="inlineStr">
        <is>
          <t>CRITICAL</t>
        </is>
      </c>
      <c r="G7" s="4" t="inlineStr"/>
      <c r="H7" s="13" t="inlineStr">
        <is>
          <t>CVR</t>
        </is>
      </c>
    </row>
    <row r="8">
      <c r="A8" s="13" t="n">
        <v>5</v>
      </c>
      <c r="B8" s="14" t="inlineStr">
        <is>
          <t>Competitive pricing (within +/-15% of category avg)</t>
        </is>
      </c>
      <c r="C8" s="4" t="inlineStr"/>
      <c r="D8" s="4" t="inlineStr"/>
      <c r="E8" s="4" t="inlineStr"/>
      <c r="F8" s="13" t="inlineStr">
        <is>
          <t>HIGH</t>
        </is>
      </c>
      <c r="G8" s="4" t="inlineStr"/>
      <c r="H8" s="13" t="inlineStr">
        <is>
          <t>CVR</t>
        </is>
      </c>
    </row>
    <row r="9">
      <c r="A9" s="13" t="n">
        <v>6</v>
      </c>
      <c r="B9" s="14" t="inlineStr">
        <is>
          <t>Prime eligible (FBA or SFP)</t>
        </is>
      </c>
      <c r="C9" s="4" t="inlineStr"/>
      <c r="D9" s="4" t="inlineStr"/>
      <c r="E9" s="4" t="inlineStr"/>
      <c r="F9" s="13" t="inlineStr">
        <is>
          <t>CRITICAL</t>
        </is>
      </c>
      <c r="G9" s="4" t="inlineStr"/>
      <c r="H9" s="13" t="inlineStr">
        <is>
          <t>CVR</t>
        </is>
      </c>
    </row>
    <row r="10">
      <c r="A10" s="13" t="n">
        <v>7</v>
      </c>
      <c r="B10" s="14" t="inlineStr">
        <is>
          <t>A+ Content live (increases CVR 5-10%)</t>
        </is>
      </c>
      <c r="C10" s="4" t="inlineStr"/>
      <c r="D10" s="4" t="inlineStr"/>
      <c r="E10" s="4" t="inlineStr"/>
      <c r="F10" s="13" t="inlineStr">
        <is>
          <t>HIGH</t>
        </is>
      </c>
      <c r="G10" s="4" t="inlineStr"/>
      <c r="H10" s="13" t="inlineStr">
        <is>
          <t>CVR</t>
        </is>
      </c>
    </row>
    <row r="11">
      <c r="A11" s="13" t="n">
        <v>8</v>
      </c>
      <c r="B11" s="14" t="inlineStr">
        <is>
          <t>Backend search terms fully optimized</t>
        </is>
      </c>
      <c r="C11" s="4" t="inlineStr"/>
      <c r="D11" s="4" t="inlineStr"/>
      <c r="E11" s="4" t="inlineStr"/>
      <c r="F11" s="13" t="inlineStr">
        <is>
          <t>MEDIUM</t>
        </is>
      </c>
      <c r="G11" s="4" t="inlineStr"/>
      <c r="H11" s="13" t="inlineStr">
        <is>
          <t>Relevance</t>
        </is>
      </c>
    </row>
    <row r="12">
      <c r="A12" s="13" t="n">
        <v>9</v>
      </c>
      <c r="B12" s="14" t="inlineStr">
        <is>
          <t>Product has inventory (30+ days supply)</t>
        </is>
      </c>
      <c r="C12" s="4" t="inlineStr"/>
      <c r="D12" s="4" t="inlineStr"/>
      <c r="E12" s="4" t="inlineStr"/>
      <c r="F12" s="13" t="inlineStr">
        <is>
          <t>CRITICAL</t>
        </is>
      </c>
      <c r="G12" s="4" t="inlineStr"/>
      <c r="H12" s="13" t="inlineStr">
        <is>
          <t>Sustainability</t>
        </is>
      </c>
    </row>
    <row r="13">
      <c r="A13" s="13" t="n">
        <v>10</v>
      </c>
      <c r="B13" s="14" t="inlineStr">
        <is>
          <t>No active listing issues (suppressed, restricted)</t>
        </is>
      </c>
      <c r="C13" s="4" t="inlineStr"/>
      <c r="D13" s="4" t="inlineStr"/>
      <c r="E13" s="4" t="inlineStr"/>
      <c r="F13" s="13" t="inlineStr">
        <is>
          <t>CRITICAL</t>
        </is>
      </c>
      <c r="G13" s="4" t="inlineStr"/>
      <c r="H13" s="13" t="inlineStr">
        <is>
          <t>Visibility</t>
        </is>
      </c>
    </row>
    <row r="14">
      <c r="A14" s="13" t="n">
        <v>11</v>
      </c>
      <c r="B14" s="14" t="inlineStr">
        <is>
          <t>Break-even ACoS calculated and documented</t>
        </is>
      </c>
      <c r="C14" s="4" t="inlineStr"/>
      <c r="D14" s="4" t="inlineStr"/>
      <c r="E14" s="4" t="inlineStr"/>
      <c r="F14" s="13" t="inlineStr">
        <is>
          <t>HIGH</t>
        </is>
      </c>
      <c r="G14" s="4" t="inlineStr"/>
      <c r="H14" s="13" t="inlineStr">
        <is>
          <t>Profitability</t>
        </is>
      </c>
    </row>
    <row r="15">
      <c r="A15" s="13" t="n">
        <v>12</v>
      </c>
      <c r="B15" s="14" t="inlineStr">
        <is>
          <t>Category allows all ad types (SP, SB, SD)</t>
        </is>
      </c>
      <c r="C15" s="4" t="inlineStr"/>
      <c r="D15" s="4" t="inlineStr"/>
      <c r="E15" s="4" t="inlineStr"/>
      <c r="F15" s="13" t="inlineStr">
        <is>
          <t>MEDIUM</t>
        </is>
      </c>
      <c r="G15" s="4" t="inlineStr"/>
      <c r="H15" s="13" t="inlineStr">
        <is>
          <t>Flexibility</t>
        </is>
      </c>
    </row>
    <row r="16">
      <c r="B16" s="3" t="inlineStr">
        <is>
          <t>TOTAL SCORE</t>
        </is>
      </c>
      <c r="C16" s="8">
        <f>COUNTIF(C4:C15,"Pass")&amp;"/"&amp;COUNTA(C4:C15)</f>
        <v/>
      </c>
      <c r="D16" s="8">
        <f>IF(COUNT(D4:D15)&gt;0,AVERAGE(D4:D15),0)</f>
        <v/>
      </c>
    </row>
    <row r="17">
      <c r="B17" s="15" t="inlineStr">
        <is>
          <t>OVERALL PPC SCORE (0-100)</t>
        </is>
      </c>
      <c r="D17" s="16">
        <f>ROUND(D16*100,0)</f>
        <v/>
      </c>
      <c r="N17">
        <f>D17</f>
        <v/>
      </c>
    </row>
  </sheetData>
  <mergeCells count="1">
    <mergeCell ref="A1:H1"/>
  </mergeCells>
  <conditionalFormatting sqref="D4:D15">
    <cfRule type="cellIs" priority="1" operator="greaterThanOrEqual" dxfId="0">
      <formula>0.8</formula>
    </cfRule>
    <cfRule type="cellIs" priority="2" operator="between" dxfId="1">
      <formula>0.5</formula>
      <formula>0.79</formula>
    </cfRule>
    <cfRule type="cellIs" priority="3" operator="lessThan" dxfId="2">
      <formula>0.5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2026-06-29T14:32:07Z</dcterms:created>
  <dcterms:modified xsi:type="dcterms:W3CDTF">2026-06-29T14:32:07Z</dcterms:modified>
</cp:coreProperties>
</file>